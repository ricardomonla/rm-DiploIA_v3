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alvarez\Downloads\"/>
    </mc:Choice>
  </mc:AlternateContent>
  <xr:revisionPtr revIDLastSave="0" documentId="13_ncr:1_{F0A114DB-8614-45A5-B1D6-92C786F10D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l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  <c r="D3" i="1"/>
  <c r="D2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<sst xmlns="http://schemas.openxmlformats.org/spreadsheetml/2006/main" count="21" uniqueCount="20">
  <si>
    <t>Comercial</t>
  </si>
  <si>
    <t>Cumplimiento</t>
  </si>
  <si>
    <t>Logro 1</t>
  </si>
  <si>
    <t>Logro 2</t>
  </si>
  <si>
    <t>Clientes Nuevos</t>
  </si>
  <si>
    <t>Ventas Brutas</t>
  </si>
  <si>
    <t>Elara</t>
  </si>
  <si>
    <t>Fausto</t>
  </si>
  <si>
    <t>Izel</t>
  </si>
  <si>
    <t>Quirin</t>
  </si>
  <si>
    <t>Renata</t>
  </si>
  <si>
    <t>Silvio</t>
  </si>
  <si>
    <t>Thalia</t>
  </si>
  <si>
    <t>Ulises</t>
  </si>
  <si>
    <t>Vespera</t>
  </si>
  <si>
    <t>Objetivo de Cliente Nuevos</t>
  </si>
  <si>
    <t>Ventas en Monto Recurrente</t>
  </si>
  <si>
    <t>Objetivo en Monto Recurrente</t>
  </si>
  <si>
    <t>Down Total en Monto Recurrente</t>
  </si>
  <si>
    <t>Down en Monto Recurrente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</si>
</sst>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USD ]#,##0.00"/>
    <numFmt numFmtId="165" formatCode="0.0"/>
  </numFmts>
  <fonts count="7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&quot;Google Sans Mono&quot;"/>
    </font>
    <font>
      <sz val="11"/>
      <color rgb="FF1F1F1F"/>
      <name val="&quot;Google Sans&quot;"/>
    </font>
  </fonts>
  <fills count="4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0" fontId="2" fillId="0" borderId="0" xfId="0" applyNumberFormat="1" applyFont="1"/>
    <xf numFmtId="0" fontId="2" fillId="0" borderId="0" xfId="0" applyFont="1" applyAlignment="1">
      <alignment horizontal="center"/>
    </xf>
    <xf numFmtId="0" fontId="5" fillId="0" borderId="0" xfId="0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2"/>
  <sheetViews>
    <sheetView showGridLines="0" tabSelected="1" workbookViewId="0">
      <pane xSplit="1" topLeftCell="B1" activePane="topRight" state="frozen"/>
      <selection pane="topRight" activeCell="F11" sqref="F11"/>
    </sheetView>
  </sheetViews>
  <sheetFormatPr defaultColWidth="12.6640625" defaultRowHeight="15.75" customHeight="1"/>
  <cols>
    <col min="1" max="1" width="29.44140625" customWidth="1"/>
    <col min="2" max="2" width="12.109375" customWidth="1"/>
    <col min="3" max="3" width="8.77734375" customWidth="1"/>
    <col min="4" max="4" width="8.6640625" customWidth="1"/>
    <col min="5" max="5" width="12.33203125" customWidth="1"/>
    <col min="6" max="6" width="10.44140625" customWidth="1"/>
    <col min="7" max="7" width="16" customWidth="1"/>
    <col min="8" max="8" width="12" customWidth="1"/>
    <col min="9" max="9" width="14" customWidth="1"/>
    <col min="10" max="10" width="12.44140625" customWidth="1"/>
    <col min="11" max="11" width="12.33203125" customWidth="1"/>
    <col min="12" max="12" width="14" customWidth="1"/>
    <col min="13" max="13" width="1.44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15</v>
      </c>
      <c r="G1" s="1" t="s">
        <v>16</v>
      </c>
      <c r="H1" s="1" t="s">
        <v>18</v>
      </c>
      <c r="I1" s="1" t="s">
        <v>4</v>
      </c>
      <c r="J1" s="1" t="s">
        <v>19</v>
      </c>
      <c r="K1" s="1" t="s">
        <v>5</v>
      </c>
      <c r="L1" s="1" t="s">
        <v>4</v>
      </c>
    </row>
    <row r="2" spans="1:13">
      <c r="A2" s="2" t="s">
        <v>6</v>
      </c>
      <c r="B2" s="3">
        <v>0.98288356164383561</v>
      </c>
      <c r="C2" s="4">
        <f>K2/E2</f>
        <v>0.84305936073059351</v>
      </c>
      <c r="D2" s="4">
        <f>L2/F2</f>
        <v>1</v>
      </c>
      <c r="E2" s="5">
        <v>2190</v>
      </c>
      <c r="F2" s="6">
        <v>9</v>
      </c>
      <c r="G2" s="7">
        <v>1847.0499999999997</v>
      </c>
      <c r="H2" s="7">
        <v>-165.6</v>
      </c>
      <c r="I2" s="8">
        <v>10</v>
      </c>
      <c r="J2" s="8">
        <v>-1</v>
      </c>
      <c r="K2" s="5">
        <v>1846.2999999999997</v>
      </c>
      <c r="L2" s="8">
        <v>9</v>
      </c>
    </row>
    <row r="3" spans="1:13">
      <c r="A3" s="2" t="s">
        <v>7</v>
      </c>
      <c r="B3" s="3">
        <v>1.1568908829863604</v>
      </c>
      <c r="C3" s="4">
        <f t="shared" ref="C3:C10" si="0">K3/E3</f>
        <v>1.1269346733668344</v>
      </c>
      <c r="D3" s="4">
        <f t="shared" ref="D3:D10" si="1">L3/F3</f>
        <v>1.0714285714285714</v>
      </c>
      <c r="E3" s="5">
        <v>1990</v>
      </c>
      <c r="F3" s="6">
        <v>14</v>
      </c>
      <c r="G3" s="7">
        <v>2445.0000000000005</v>
      </c>
      <c r="H3" s="7">
        <v>-69.900000000000006</v>
      </c>
      <c r="I3" s="8">
        <v>16</v>
      </c>
      <c r="J3" s="8">
        <v>-1</v>
      </c>
      <c r="K3" s="5">
        <v>2242.6000000000004</v>
      </c>
      <c r="L3" s="8">
        <v>15</v>
      </c>
    </row>
    <row r="4" spans="1:13">
      <c r="A4" s="2" t="s">
        <v>8</v>
      </c>
      <c r="B4" s="3">
        <v>1.6846803652968032</v>
      </c>
      <c r="C4" s="4">
        <f t="shared" si="0"/>
        <v>1.6041095890410955</v>
      </c>
      <c r="D4" s="4">
        <f t="shared" si="1"/>
        <v>2</v>
      </c>
      <c r="E4" s="5">
        <v>2190</v>
      </c>
      <c r="F4" s="6">
        <v>9</v>
      </c>
      <c r="G4" s="7">
        <v>3512.9999999999991</v>
      </c>
      <c r="H4" s="7">
        <v>-119.5</v>
      </c>
      <c r="I4" s="8">
        <v>18</v>
      </c>
      <c r="J4" s="8">
        <v>0</v>
      </c>
      <c r="K4" s="5">
        <v>3512.9999999999991</v>
      </c>
      <c r="L4" s="8">
        <v>18</v>
      </c>
    </row>
    <row r="5" spans="1:13">
      <c r="A5" s="2" t="s">
        <v>9</v>
      </c>
      <c r="B5" s="3">
        <v>0.51646231155778899</v>
      </c>
      <c r="C5" s="4">
        <f t="shared" si="0"/>
        <v>0.57994974874371863</v>
      </c>
      <c r="D5" s="4">
        <f t="shared" si="1"/>
        <v>0.5</v>
      </c>
      <c r="E5" s="5">
        <v>1990</v>
      </c>
      <c r="F5" s="6">
        <v>14</v>
      </c>
      <c r="G5" s="7">
        <v>1154.1000000000001</v>
      </c>
      <c r="H5" s="7">
        <v>-112.3</v>
      </c>
      <c r="I5" s="8">
        <v>9</v>
      </c>
      <c r="J5" s="8">
        <v>-2</v>
      </c>
      <c r="K5" s="5">
        <v>1154.1000000000001</v>
      </c>
      <c r="L5" s="8">
        <v>7</v>
      </c>
    </row>
    <row r="6" spans="1:13">
      <c r="A6" s="2" t="s">
        <v>10</v>
      </c>
      <c r="B6" s="3">
        <v>1.7797077051926296</v>
      </c>
      <c r="C6" s="4">
        <f t="shared" si="0"/>
        <v>1.813618090452261</v>
      </c>
      <c r="D6" s="4">
        <f t="shared" si="1"/>
        <v>1.4444444444444444</v>
      </c>
      <c r="E6" s="5">
        <v>1990</v>
      </c>
      <c r="F6" s="6">
        <v>9</v>
      </c>
      <c r="G6" s="7">
        <v>3827.5499999999993</v>
      </c>
      <c r="H6" s="7">
        <v>0</v>
      </c>
      <c r="I6" s="8">
        <v>13</v>
      </c>
      <c r="J6" s="8">
        <v>0</v>
      </c>
      <c r="K6" s="5">
        <v>3609.0999999999995</v>
      </c>
      <c r="L6" s="8">
        <v>13</v>
      </c>
      <c r="M6" s="9"/>
    </row>
    <row r="7" spans="1:13">
      <c r="A7" s="2" t="s">
        <v>11</v>
      </c>
      <c r="B7" s="3">
        <v>1.9302731514716436</v>
      </c>
      <c r="C7" s="4">
        <f t="shared" si="0"/>
        <v>1.9831658291457288</v>
      </c>
      <c r="D7" s="4">
        <f t="shared" si="1"/>
        <v>1.7142857142857142</v>
      </c>
      <c r="E7" s="5">
        <v>1990</v>
      </c>
      <c r="F7" s="6">
        <v>14</v>
      </c>
      <c r="G7" s="7">
        <v>4255.6499999999996</v>
      </c>
      <c r="H7" s="7">
        <v>-230.20000000000002</v>
      </c>
      <c r="I7" s="8">
        <v>28</v>
      </c>
      <c r="J7" s="8">
        <v>-4</v>
      </c>
      <c r="K7" s="5">
        <v>3946.5000000000005</v>
      </c>
      <c r="L7" s="8">
        <v>24</v>
      </c>
    </row>
    <row r="8" spans="1:13">
      <c r="A8" s="2" t="s">
        <v>12</v>
      </c>
      <c r="B8" s="3">
        <v>2.1227979181622394</v>
      </c>
      <c r="C8" s="4">
        <f t="shared" si="0"/>
        <v>2.0026633165829142</v>
      </c>
      <c r="D8" s="4">
        <f t="shared" si="1"/>
        <v>2.5714285714285716</v>
      </c>
      <c r="E8" s="5">
        <v>1990</v>
      </c>
      <c r="F8" s="6">
        <v>14</v>
      </c>
      <c r="G8" s="7">
        <v>4002.7499999999991</v>
      </c>
      <c r="H8" s="7">
        <v>-161</v>
      </c>
      <c r="I8" s="8">
        <v>39</v>
      </c>
      <c r="J8" s="8">
        <v>-3</v>
      </c>
      <c r="K8" s="5">
        <v>3985.2999999999993</v>
      </c>
      <c r="L8" s="8">
        <v>36</v>
      </c>
    </row>
    <row r="9" spans="1:13">
      <c r="A9" s="2" t="s">
        <v>13</v>
      </c>
      <c r="B9" s="3">
        <v>1.5448223259152907</v>
      </c>
      <c r="C9" s="4">
        <f t="shared" si="0"/>
        <v>1.2981909547738695</v>
      </c>
      <c r="D9" s="4">
        <f t="shared" si="1"/>
        <v>1.7857142857142858</v>
      </c>
      <c r="E9" s="5">
        <v>1990</v>
      </c>
      <c r="F9" s="6">
        <v>14</v>
      </c>
      <c r="G9" s="7">
        <v>2603.0500000000006</v>
      </c>
      <c r="H9" s="7">
        <v>-36.299999999999997</v>
      </c>
      <c r="I9" s="8">
        <v>25</v>
      </c>
      <c r="J9" s="8">
        <v>0</v>
      </c>
      <c r="K9" s="5">
        <v>2583.4</v>
      </c>
      <c r="L9" s="8">
        <v>25</v>
      </c>
    </row>
    <row r="10" spans="1:13">
      <c r="A10" s="2" t="s">
        <v>14</v>
      </c>
      <c r="B10" s="3">
        <v>1.7044654088050317</v>
      </c>
      <c r="C10" s="4">
        <f t="shared" si="0"/>
        <v>1.3988050314465408</v>
      </c>
      <c r="D10" s="4">
        <f>L10/F10</f>
        <v>0.77777777777777779</v>
      </c>
      <c r="E10" s="5">
        <v>1590</v>
      </c>
      <c r="F10" s="6">
        <v>9</v>
      </c>
      <c r="G10" s="7">
        <v>2710.1000000000004</v>
      </c>
      <c r="H10" s="7">
        <v>0</v>
      </c>
      <c r="I10" s="8">
        <v>7</v>
      </c>
      <c r="J10" s="8">
        <v>0</v>
      </c>
      <c r="K10" s="5">
        <v>2224.1</v>
      </c>
      <c r="L10" s="8">
        <v>7</v>
      </c>
    </row>
    <row r="11" spans="1:13">
      <c r="A11" s="10"/>
      <c r="B11" s="11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3">
      <c r="A12" s="10"/>
      <c r="B12" s="12"/>
      <c r="C12" s="10"/>
      <c r="D12" s="10"/>
      <c r="E12" s="10"/>
      <c r="F12" s="10"/>
      <c r="G12" s="10"/>
      <c r="H12" s="10"/>
      <c r="I12" s="10"/>
      <c r="J12" s="10"/>
      <c r="K12" s="10"/>
      <c r="L12" s="10"/>
    </row>
  </sheetData>
  <conditionalFormatting sqref="B2:D10">
    <cfRule type="colorScale" priority="1">
      <colorScale>
        <cfvo type="min"/>
        <cfvo type="percentile" val="50"/>
        <cfvo type="max"/>
        <color rgb="FFF6B26B"/>
        <color rgb="FFFFF2CC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Dario Alvarez</cp:lastModifiedBy>
  <dcterms:modified xsi:type="dcterms:W3CDTF">2025-11-19T16:47:20Z</dcterms:modified>
</cp:coreProperties>
</file>